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汇总" sheetId="1" r:id="rId1"/>
    <sheet name="月度收入" sheetId="2" r:id="rId2"/>
    <sheet name="渠道" sheetId="3" r:id="rId3"/>
    <sheet name="客户" sheetId="4" r:id="rId4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  <family val="2"/>
    </font>
    <font>
      <sz val="15"/>
      <name val="Menl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/>
    <xf numFmtId="164" fontId="1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ColWidth="14.29" defaultRowHeight="24" customHeight="1"/>
  <cols>
    <col min="1" max="1" width="22.86" customWidth="1"/>
  </cols>
  <sheetData>
    <row r="1">
      <c r="A1" t="inlineStr">
        <is>
          <r>
            <rPr>
              <sz val="15"/>
              <rFont val="PingFang SC"/>
            </rPr>
            <t>项目</t>
          </r>
        </is>
      </c>
      <c r="B1" t="inlineStr">
        <is>
          <r>
            <rPr>
              <sz val="15"/>
              <rFont val="PingFang SC"/>
            </rPr>
            <t>数值</t>
          </r>
        </is>
      </c>
    </row>
    <row r="2">
      <c r="A2" t="inlineStr">
        <is>
          <r>
            <rPr>
              <sz val="15"/>
              <rFont val="PingFang SC"/>
            </rPr>
            <t>全年营收（万元）</t>
          </r>
        </is>
      </c>
      <c r="B2">
        <f>SUM(月度收入!B2:B13)</f>
        <v>12130</v>
      </c>
    </row>
    <row r="3">
      <c r="A3" t="inlineStr">
        <is>
          <r>
            <rPr>
              <sz val="15"/>
              <rFont val="PingFang SC"/>
            </rPr>
            <t>上年营收（万元）</t>
          </r>
        </is>
      </c>
      <c r="B3">
        <f>SUM(月度收入!C2:C13)</f>
        <v>9050</v>
      </c>
    </row>
    <row r="4">
      <c r="A4" t="inlineStr">
        <is>
          <r>
            <rPr>
              <sz val="15"/>
              <rFont val="PingFang SC"/>
            </rPr>
            <t>同比增长</t>
          </r>
        </is>
      </c>
      <c r="B4" s="1">
        <f>B2 / B3 - 1</f>
        <v>0.340331491712707</v>
      </c>
    </row>
    <row r="5">
      <c r="A5" t="inlineStr">
        <is>
          <r>
            <rPr>
              <sz val="15"/>
              <rFont val="PingFang SC"/>
            </rPr>
            <t>营业成本（万元）</t>
          </r>
        </is>
      </c>
      <c r="B5">
        <v>4610</v>
      </c>
    </row>
    <row r="6">
      <c r="A6" t="inlineStr">
        <is>
          <r>
            <rPr>
              <sz val="15"/>
              <rFont val="PingFang SC"/>
            </rPr>
            <t>毛利率</t>
          </r>
        </is>
      </c>
      <c r="B6" s="1">
        <f>(B2 - B5) / B2</f>
        <v>0.6199505358615</v>
      </c>
    </row>
    <row r="7">
      <c r="A7" t="inlineStr">
        <is>
          <r>
            <rPr>
              <sz val="15"/>
              <rFont val="Menlo"/>
              <family val="3"/>
            </rPr>
            <t>Q1</t>
          </r>
          <r>
            <rPr>
              <sz val="15"/>
              <rFont val="PingFang SC"/>
            </rPr>
            <t>（万元）</t>
          </r>
        </is>
      </c>
      <c r="B7">
        <f>SUM(月度收入!B2:B4)</f>
        <v>2220</v>
      </c>
    </row>
    <row r="8">
      <c r="A8" t="inlineStr">
        <is>
          <r>
            <rPr>
              <sz val="15"/>
              <rFont val="Menlo"/>
              <family val="3"/>
            </rPr>
            <t>Q2</t>
          </r>
          <r>
            <rPr>
              <sz val="15"/>
              <rFont val="PingFang SC"/>
            </rPr>
            <t>（万元）</t>
          </r>
        </is>
      </c>
      <c r="B8">
        <f>SUM(月度收入!B5:B7)</f>
        <v>2740</v>
      </c>
    </row>
    <row r="9">
      <c r="A9" t="inlineStr">
        <is>
          <r>
            <rPr>
              <sz val="15"/>
              <rFont val="Menlo"/>
              <family val="3"/>
            </rPr>
            <t>Q3</t>
          </r>
          <r>
            <rPr>
              <sz val="15"/>
              <rFont val="PingFang SC"/>
            </rPr>
            <t>（万元）</t>
          </r>
        </is>
      </c>
      <c r="B9">
        <f>SUM(月度收入!B8:B10)</f>
        <v>3190</v>
      </c>
    </row>
    <row r="10">
      <c r="A10" t="inlineStr">
        <is>
          <r>
            <rPr>
              <sz val="15"/>
              <rFont val="Menlo"/>
              <family val="3"/>
            </rPr>
            <t>Q4</t>
          </r>
          <r>
            <rPr>
              <sz val="15"/>
              <rFont val="PingFang SC"/>
            </rPr>
            <t>（万元）</t>
          </r>
        </is>
      </c>
      <c r="B10">
        <f>SUM(月度收入!B11:B13)</f>
        <v>3980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14.29" defaultRowHeight="24" customHeight="1"/>
  <cols>
    <col min="2" max="2" width="20" customWidth="1"/>
    <col min="3" max="3" width="20" customWidth="1"/>
  </cols>
  <sheetData>
    <row r="1">
      <c r="A1" t="inlineStr">
        <is>
          <r>
            <rPr>
              <sz val="15"/>
              <rFont val="PingFang SC"/>
            </rPr>
            <t>月份</t>
          </r>
        </is>
      </c>
      <c r="B1" t="inlineStr">
        <is>
          <r>
            <rPr>
              <sz val="15"/>
              <rFont val="Menlo"/>
              <family val="3"/>
            </rPr>
            <t xml:space="preserve">2026 </t>
          </r>
          <r>
            <rPr>
              <sz val="15"/>
              <rFont val="PingFang SC"/>
            </rPr>
            <t>收入（万元）</t>
          </r>
        </is>
      </c>
      <c r="C1" t="inlineStr">
        <is>
          <r>
            <rPr>
              <sz val="15"/>
              <rFont val="Menlo"/>
              <family val="3"/>
            </rPr>
            <t xml:space="preserve">2025 </t>
          </r>
          <r>
            <rPr>
              <sz val="15"/>
              <rFont val="PingFang SC"/>
            </rPr>
            <t>收入（万元）</t>
          </r>
        </is>
      </c>
    </row>
    <row r="2">
      <c r="A2" t="inlineStr">
        <is>
          <r>
            <rPr>
              <sz val="15"/>
              <rFont val="Menlo"/>
              <family val="3"/>
            </rPr>
            <t xml:space="preserve">1 </t>
          </r>
          <r>
            <rPr>
              <sz val="15"/>
              <rFont val="PingFang SC"/>
            </rPr>
            <t>月</t>
          </r>
        </is>
      </c>
      <c r="B2">
        <v>720</v>
      </c>
      <c r="C2">
        <v>560</v>
      </c>
    </row>
    <row r="3">
      <c r="A3" t="inlineStr">
        <is>
          <r>
            <rPr>
              <sz val="15"/>
              <rFont val="Menlo"/>
              <family val="3"/>
            </rPr>
            <t xml:space="preserve">2 </t>
          </r>
          <r>
            <rPr>
              <sz val="15"/>
              <rFont val="PingFang SC"/>
            </rPr>
            <t>月</t>
          </r>
        </is>
      </c>
      <c r="B3">
        <v>690</v>
      </c>
      <c r="C3">
        <v>540</v>
      </c>
    </row>
    <row r="4">
      <c r="A4" t="inlineStr">
        <is>
          <r>
            <rPr>
              <sz val="15"/>
              <rFont val="Menlo"/>
              <family val="3"/>
            </rPr>
            <t xml:space="preserve">3 </t>
          </r>
          <r>
            <rPr>
              <sz val="15"/>
              <rFont val="PingFang SC"/>
            </rPr>
            <t>月</t>
          </r>
        </is>
      </c>
      <c r="B4">
        <v>810</v>
      </c>
      <c r="C4">
        <v>620</v>
      </c>
    </row>
    <row r="5">
      <c r="A5" t="inlineStr">
        <is>
          <r>
            <rPr>
              <sz val="15"/>
              <rFont val="Menlo"/>
              <family val="3"/>
            </rPr>
            <t xml:space="preserve">4 </t>
          </r>
          <r>
            <rPr>
              <sz val="15"/>
              <rFont val="PingFang SC"/>
            </rPr>
            <t>月</t>
          </r>
        </is>
      </c>
      <c r="B5">
        <v>860</v>
      </c>
      <c r="C5">
        <v>660</v>
      </c>
    </row>
    <row r="6">
      <c r="A6" t="inlineStr">
        <is>
          <r>
            <rPr>
              <sz val="15"/>
              <rFont val="Menlo"/>
              <family val="3"/>
            </rPr>
            <t xml:space="preserve">5 </t>
          </r>
          <r>
            <rPr>
              <sz val="15"/>
              <rFont val="PingFang SC"/>
            </rPr>
            <t>月</t>
          </r>
        </is>
      </c>
      <c r="B6">
        <v>900</v>
      </c>
      <c r="C6">
        <v>690</v>
      </c>
    </row>
    <row r="7">
      <c r="A7" t="inlineStr">
        <is>
          <r>
            <rPr>
              <sz val="15"/>
              <rFont val="Menlo"/>
              <family val="3"/>
            </rPr>
            <t xml:space="preserve">6 </t>
          </r>
          <r>
            <rPr>
              <sz val="15"/>
              <rFont val="PingFang SC"/>
            </rPr>
            <t>月</t>
          </r>
        </is>
      </c>
      <c r="B7">
        <v>980</v>
      </c>
      <c r="C7">
        <v>740</v>
      </c>
    </row>
    <row r="8">
      <c r="A8" t="inlineStr">
        <is>
          <r>
            <rPr>
              <sz val="15"/>
              <rFont val="Menlo"/>
              <family val="3"/>
            </rPr>
            <t xml:space="preserve">7 </t>
          </r>
          <r>
            <rPr>
              <sz val="15"/>
              <rFont val="PingFang SC"/>
            </rPr>
            <t>月</t>
          </r>
        </is>
      </c>
      <c r="B8">
        <v>1010</v>
      </c>
      <c r="C8">
        <v>760</v>
      </c>
    </row>
    <row r="9">
      <c r="A9" t="inlineStr">
        <is>
          <r>
            <rPr>
              <sz val="15"/>
              <rFont val="Menlo"/>
              <family val="3"/>
            </rPr>
            <t xml:space="preserve">8 </t>
          </r>
          <r>
            <rPr>
              <sz val="15"/>
              <rFont val="PingFang SC"/>
            </rPr>
            <t>月</t>
          </r>
        </is>
      </c>
      <c r="B9">
        <v>1050</v>
      </c>
      <c r="C9">
        <v>790</v>
      </c>
    </row>
    <row r="10">
      <c r="A10" t="inlineStr">
        <is>
          <r>
            <rPr>
              <sz val="15"/>
              <rFont val="Menlo"/>
              <family val="3"/>
            </rPr>
            <t xml:space="preserve">9 </t>
          </r>
          <r>
            <rPr>
              <sz val="15"/>
              <rFont val="PingFang SC"/>
            </rPr>
            <t>月</t>
          </r>
        </is>
      </c>
      <c r="B10">
        <v>1130</v>
      </c>
      <c r="C10">
        <v>840</v>
      </c>
    </row>
    <row r="11">
      <c r="A11" t="inlineStr">
        <is>
          <r>
            <rPr>
              <sz val="15"/>
              <rFont val="Menlo"/>
              <family val="3"/>
            </rPr>
            <t xml:space="preserve">10 </t>
          </r>
          <r>
            <rPr>
              <sz val="15"/>
              <rFont val="PingFang SC"/>
            </rPr>
            <t>月</t>
          </r>
        </is>
      </c>
      <c r="B11">
        <v>1220</v>
      </c>
      <c r="C11">
        <v>880</v>
      </c>
    </row>
    <row r="12">
      <c r="A12" t="inlineStr">
        <is>
          <r>
            <rPr>
              <sz val="15"/>
              <rFont val="Menlo"/>
              <family val="3"/>
            </rPr>
            <t xml:space="preserve">11 </t>
          </r>
          <r>
            <rPr>
              <sz val="15"/>
              <rFont val="PingFang SC"/>
            </rPr>
            <t>月</t>
          </r>
        </is>
      </c>
      <c r="B12">
        <v>1300</v>
      </c>
      <c r="C12">
        <v>920</v>
      </c>
    </row>
    <row r="13">
      <c r="A13" t="inlineStr">
        <is>
          <r>
            <rPr>
              <sz val="15"/>
              <rFont val="Menlo"/>
              <family val="3"/>
            </rPr>
            <t xml:space="preserve">12 </t>
          </r>
          <r>
            <rPr>
              <sz val="15"/>
              <rFont val="PingFang SC"/>
            </rPr>
            <t>月</t>
          </r>
        </is>
      </c>
      <c r="B13">
        <v>1460</v>
      </c>
      <c r="C13">
        <v>1050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14.29" defaultRowHeight="24" customHeight="1"/>
  <cols>
    <col min="1" max="1" width="22.86" customWidth="1"/>
  </cols>
  <sheetData>
    <row r="1">
      <c r="A1" t="inlineStr">
        <is>
          <r>
            <rPr>
              <sz val="15"/>
              <rFont val="PingFang SC"/>
            </rPr>
            <t>渠道</t>
          </r>
        </is>
      </c>
      <c r="B1" t="inlineStr">
        <is>
          <r>
            <rPr>
              <sz val="15"/>
              <rFont val="Menlo"/>
              <family val="3"/>
            </rPr>
            <t xml:space="preserve">2026 </t>
          </r>
          <r>
            <rPr>
              <sz val="15"/>
              <rFont val="PingFang SC"/>
            </rPr>
            <t>收入（万元）</t>
          </r>
        </is>
      </c>
      <c r="C1" t="inlineStr">
        <is>
          <r>
            <rPr>
              <sz val="15"/>
              <rFont val="PingFang SC"/>
            </rPr>
            <t>占比</t>
          </r>
        </is>
      </c>
    </row>
    <row r="2">
      <c r="A2" t="inlineStr">
        <is>
          <r>
            <rPr>
              <sz val="15"/>
              <rFont val="PingFang SC"/>
            </rPr>
            <t>直销团队</t>
          </r>
        </is>
      </c>
      <c r="B2">
        <v>4610</v>
      </c>
      <c r="C2" s="1">
        <f>B2 / SUM($B$2:$B$6)</f>
        <v>0.3800494641385</v>
      </c>
    </row>
    <row r="3">
      <c r="A3" t="inlineStr">
        <is>
          <r>
            <rPr>
              <sz val="15"/>
              <rFont val="PingFang SC"/>
            </rPr>
            <t>合作伙伴与集成商</t>
          </r>
        </is>
      </c>
      <c r="B3">
        <v>3150</v>
      </c>
      <c r="C3" s="1">
        <f>B3 / SUM($B$2:$B$6)</f>
        <v>0.259686727122836</v>
      </c>
    </row>
    <row r="4">
      <c r="A4" t="inlineStr">
        <is>
          <r>
            <rPr>
              <sz val="15"/>
              <rFont val="PingFang SC"/>
            </rPr>
            <t>自助订阅</t>
          </r>
        </is>
      </c>
      <c r="B4">
        <v>2430</v>
      </c>
      <c r="C4" s="1">
        <f>B4 / SUM($B$2:$B$6)</f>
        <v>0.200329760923331</v>
      </c>
    </row>
    <row r="5">
      <c r="A5" t="inlineStr">
        <is>
          <r>
            <rPr>
              <sz val="15"/>
              <rFont val="PingFang SC"/>
            </rPr>
            <t>应用市场</t>
          </r>
        </is>
      </c>
      <c r="B5">
        <v>1210</v>
      </c>
      <c r="C5" s="1">
        <f>B5 / SUM($B$2:$B$6)</f>
        <v>0.0997526793075021</v>
      </c>
    </row>
    <row r="6">
      <c r="A6" t="inlineStr">
        <is>
          <r>
            <rPr>
              <sz val="15"/>
              <rFont val="PingFang SC"/>
            </rPr>
            <t>海外代理</t>
          </r>
        </is>
      </c>
      <c r="B6">
        <v>730</v>
      </c>
      <c r="C6" s="1">
        <f>B6 / SUM($B$2:$B$6)</f>
        <v>0.0601813685078318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14.29" defaultRowHeight="24" customHeight="1"/>
  <cols>
    <col min="1" max="1" width="22.86" customWidth="1"/>
  </cols>
  <sheetData>
    <row r="1">
      <c r="A1" t="inlineStr">
        <is>
          <r>
            <rPr>
              <sz val="15"/>
              <rFont val="PingFang SC"/>
            </rPr>
            <t>指标</t>
          </r>
        </is>
      </c>
      <c r="B1">
        <v>2025</v>
      </c>
      <c r="C1">
        <v>2026</v>
      </c>
    </row>
    <row r="2">
      <c r="A2" t="inlineStr">
        <is>
          <r>
            <rPr>
              <sz val="15"/>
              <rFont val="PingFang SC"/>
            </rPr>
            <t>付费客户（家）</t>
          </r>
        </is>
      </c>
      <c r="B2">
        <v>1630</v>
      </c>
      <c r="C2">
        <v>2140</v>
      </c>
    </row>
    <row r="3">
      <c r="A3" t="inlineStr">
        <is>
          <r>
            <rPr>
              <sz val="15"/>
              <rFont val="PingFang SC"/>
            </rPr>
            <t>净收入留存</t>
          </r>
        </is>
      </c>
      <c r="B3" s="1">
        <v>1.04</v>
      </c>
      <c r="C3" s="1">
        <v>1.18</v>
      </c>
    </row>
  </sheetData>
</worksheet>
</file>