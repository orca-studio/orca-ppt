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月度" sheetId="1" r:id="rId1"/>
    <sheet name="汇总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sz val="15"/>
      <name val="Menl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</sheetView>
  </sheetViews>
  <sheetFormatPr defaultColWidth="14.29" defaultRowHeight="24" customHeight="1"/>
  <sheetData>
    <row r="1">
      <c r="A1" t="inlineStr">
        <is>
          <r>
            <rPr>
              <sz val="15"/>
              <rFont val="PingFang SC"/>
            </rPr>
            <t>月份</t>
          </r>
        </is>
      </c>
      <c r="B1" t="inlineStr">
        <is>
          <r>
            <rPr>
              <sz val="15"/>
              <rFont val="PingFang SC"/>
            </rPr>
            <t>季度</t>
          </r>
        </is>
      </c>
      <c r="C1" t="inlineStr">
        <is>
          <r>
            <rPr>
              <sz val="15"/>
              <rFont val="PingFang SC"/>
            </rPr>
            <t>发送数</t>
          </r>
        </is>
      </c>
      <c r="D1" t="inlineStr">
        <is>
          <r>
            <rPr>
              <sz val="15"/>
              <rFont val="PingFang SC"/>
            </rPr>
            <t>打开数</t>
          </r>
        </is>
      </c>
      <c r="E1" t="inlineStr">
        <is>
          <r>
            <rPr>
              <sz val="15"/>
              <rFont val="PingFang SC"/>
            </rPr>
            <t>打开率</t>
          </r>
        </is>
      </c>
    </row>
    <row r="2">
      <c r="A2" t="inlineStr">
        <is>
          <t>2026-01</t>
        </is>
      </c>
      <c r="B2" t="inlineStr">
        <is>
          <t>Q1</t>
        </is>
      </c>
      <c r="C2">
        <v>10326</v>
      </c>
      <c r="D2">
        <v>3924</v>
      </c>
      <c r="E2">
        <f>D2 / C2</f>
        <v>0.380011621150494</v>
      </c>
    </row>
    <row r="3">
      <c r="A3" t="inlineStr">
        <is>
          <t>2026-02</t>
        </is>
      </c>
      <c r="B3" t="inlineStr">
        <is>
          <t>Q1</t>
        </is>
      </c>
      <c r="C3">
        <v>9617</v>
      </c>
      <c r="D3">
        <v>3654</v>
      </c>
      <c r="E3">
        <f>D3 / C3</f>
        <v>0.37995216803577</v>
      </c>
    </row>
    <row r="4">
      <c r="A4" t="inlineStr">
        <is>
          <t>2026-03</t>
        </is>
      </c>
      <c r="B4" t="inlineStr">
        <is>
          <t>Q1</t>
        </is>
      </c>
      <c r="C4">
        <v>10617</v>
      </c>
      <c r="D4">
        <v>4034</v>
      </c>
      <c r="E4">
        <f>D4 / C4</f>
        <v>0.379956673259866</v>
      </c>
    </row>
    <row r="5">
      <c r="A5" t="inlineStr">
        <is>
          <t>2026-04</t>
        </is>
      </c>
      <c r="B5" t="inlineStr">
        <is>
          <t>Q2</t>
        </is>
      </c>
      <c r="C5">
        <v>11666</v>
      </c>
      <c r="D5">
        <v>6416</v>
      </c>
      <c r="E5">
        <f>D5 / C5</f>
        <v>0.549974284244814</v>
      </c>
    </row>
    <row r="6">
      <c r="A6" t="inlineStr">
        <is>
          <t>2026-05</t>
        </is>
      </c>
      <c r="B6" t="inlineStr">
        <is>
          <t>Q2</t>
        </is>
      </c>
      <c r="C6">
        <v>9197</v>
      </c>
      <c r="D6">
        <v>5058</v>
      </c>
      <c r="E6">
        <f>D6 / C6</f>
        <v>0.549961944112211</v>
      </c>
    </row>
    <row r="7">
      <c r="A7" t="inlineStr">
        <is>
          <t>2026-06</t>
        </is>
      </c>
      <c r="B7" t="inlineStr">
        <is>
          <t>Q2</t>
        </is>
      </c>
      <c r="C7">
        <v>9296</v>
      </c>
      <c r="D7">
        <v>5113</v>
      </c>
      <c r="E7">
        <f>D7 / C7</f>
        <v>0.550021514629948</v>
      </c>
    </row>
    <row r="8">
      <c r="A8" t="inlineStr">
        <is>
          <t>2026-07</t>
        </is>
      </c>
      <c r="B8" t="inlineStr">
        <is>
          <t>Q3</t>
        </is>
      </c>
      <c r="C8">
        <v>11194</v>
      </c>
      <c r="D8">
        <v>7164</v>
      </c>
      <c r="E8">
        <f>D8 / C8</f>
        <v>0.639985706628551</v>
      </c>
    </row>
    <row r="9">
      <c r="A9" t="inlineStr">
        <is>
          <t>2026-08</t>
        </is>
      </c>
      <c r="B9" t="inlineStr">
        <is>
          <t>Q3</t>
        </is>
      </c>
      <c r="C9">
        <v>9385</v>
      </c>
      <c r="D9">
        <v>6006</v>
      </c>
      <c r="E9">
        <f>D9 / C9</f>
        <v>0.639957378795951</v>
      </c>
    </row>
    <row r="10">
      <c r="A10" t="inlineStr">
        <is>
          <t>2026-09</t>
        </is>
      </c>
      <c r="B10" t="inlineStr">
        <is>
          <t>Q3</t>
        </is>
      </c>
      <c r="C10">
        <v>10497</v>
      </c>
      <c r="D10">
        <v>6718</v>
      </c>
      <c r="E10">
        <f>D10 / C10</f>
        <v>0.639992378774888</v>
      </c>
    </row>
    <row r="11">
      <c r="A11" t="inlineStr">
        <is>
          <t>2026-10</t>
        </is>
      </c>
      <c r="B11" t="inlineStr">
        <is>
          <t>Q4</t>
        </is>
      </c>
      <c r="C11">
        <v>11387</v>
      </c>
      <c r="D11">
        <v>9337</v>
      </c>
      <c r="E11">
        <f>D11 / C11</f>
        <v>0.819970141389304</v>
      </c>
    </row>
    <row r="12">
      <c r="A12" t="inlineStr">
        <is>
          <t>2026-11</t>
        </is>
      </c>
      <c r="B12" t="inlineStr">
        <is>
          <t>Q4</t>
        </is>
      </c>
      <c r="C12">
        <v>9237</v>
      </c>
      <c r="D12">
        <v>7574</v>
      </c>
      <c r="E12">
        <f>D12 / C12</f>
        <v>0.819963191512396</v>
      </c>
    </row>
    <row r="13">
      <c r="A13" t="inlineStr">
        <is>
          <t>2026-12</t>
        </is>
      </c>
      <c r="B13" t="inlineStr">
        <is>
          <t>Q4</t>
        </is>
      </c>
      <c r="C13">
        <v>11078</v>
      </c>
      <c r="D13">
        <v>9084</v>
      </c>
      <c r="E13">
        <f>D13 / C13</f>
        <v>0.820003610760065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14.29" defaultRowHeight="24" customHeight="1"/>
  <sheetData>
    <row r="1">
      <c r="A1" t="inlineStr">
        <is>
          <r>
            <rPr>
              <sz val="15"/>
              <rFont val="PingFang SC"/>
            </rPr>
            <t>季度</t>
          </r>
        </is>
      </c>
      <c r="B1" t="inlineStr">
        <is>
          <r>
            <rPr>
              <sz val="15"/>
              <rFont val="PingFang SC"/>
            </rPr>
            <t>打开率</t>
          </r>
        </is>
      </c>
    </row>
    <row r="2">
      <c r="A2" t="inlineStr">
        <is>
          <t>Q1</t>
        </is>
      </c>
      <c r="B2">
        <f>SUMIFS(月度!D2:D13, 月度!B2:B13, A2)
  / SUMIFS(月度!C2:C13, 月度!B2:B13, A2)</f>
        <v>0.379973821989529</v>
      </c>
    </row>
    <row r="3">
      <c r="A3" t="inlineStr">
        <is>
          <t>Q2</t>
        </is>
      </c>
      <c r="B3">
        <f>SUMIFS(月度!D2:D13, 月度!B2:B13, A3)
  / SUMIFS(月度!C2:C13, 月度!B2:B13, A3)</f>
        <v>0.549985079080871</v>
      </c>
    </row>
    <row r="4">
      <c r="A4" t="inlineStr">
        <is>
          <t>Q3</t>
        </is>
      </c>
      <c r="B4">
        <f>SUMIFS(月度!D2:D13, 月度!B2:B13, A4)
  / SUMIFS(月度!C2:C13, 月度!B2:B13, A4)</f>
        <v>0.639979405328871</v>
      </c>
    </row>
    <row r="5">
      <c r="A5" t="inlineStr">
        <is>
          <t>Q4</t>
        </is>
      </c>
      <c r="B5">
        <f>SUMIFS(月度!D2:D13, 月度!B2:B13, A5)
  / SUMIFS(月度!C2:C13, 月度!B2:B13, A5)</f>
        <v>0.819979811999243</v>
      </c>
    </row>
  </sheetData>
</worksheet>
</file>